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22482\RP\racunalniski_praktikum\Razpredelnice\"/>
    </mc:Choice>
  </mc:AlternateContent>
  <xr:revisionPtr revIDLastSave="0" documentId="13_ncr:1_{2A4B721B-F288-4246-A800-CBC4957B3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<sst xmlns="http://schemas.openxmlformats.org/spreadsheetml/2006/main" count="22" uniqueCount="21">
  <si>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</si>
  <si>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</si>
  <si>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</si>
  <si>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</si>
  <si>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</si>
  <si>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</si>
  <si>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</si>
  <si>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</si>
  <si>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</si>
  <si>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</si>
  <si>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∞</t>
  </si>
  <si>
    <t>Row Labels</t>
  </si>
  <si>
    <t>Grand Total</t>
  </si>
  <si>
    <t>May</t>
  </si>
  <si>
    <t>Jun</t>
  </si>
  <si>
    <t>Jul</t>
  </si>
  <si>
    <t>Aug</t>
  </si>
  <si>
    <t>Sept</t>
  </si>
  <si>
    <t>Oct</t>
  </si>
  <si>
    <t>Column Labels</t>
  </si>
  <si>
    <t>Count of Prevoženo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</si>
</sst>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7" formatCode="d\.mm\.yy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7" formatCode="d\.mm\.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numFmt numFmtId="167" formatCode="d\.mm\.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belić, Jon" refreshedDate="45996.582249999999" createdVersion="7" refreshedVersion="7" minRefreshableVersion="3" recordCount="19" xr:uid="{16D8CCEE-7911-4362-A4AF-BE766AF9F5B4}">
  <cacheSource type="worksheet">
    <worksheetSource name="realna_poraba_cupra__2"/>
  </cacheSource>
  <cacheFields count="8">
    <cacheField name="Datum" numFmtId="167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2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∞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x v="0"/>
  </r>
  <r>
    <x v="1"/>
    <n v="43.02"/>
    <n v="59.797800000000002"/>
    <n v="42521"/>
    <x v="1"/>
    <x v="1"/>
    <x v="1"/>
  </r>
  <r>
    <x v="2"/>
    <n v="41.67"/>
    <n v="57.921299999999995"/>
    <n v="43181"/>
    <x v="2"/>
    <x v="2"/>
    <x v="2"/>
  </r>
  <r>
    <x v="3"/>
    <n v="34.04"/>
    <n v="47.043279999999996"/>
    <n v="43696"/>
    <x v="3"/>
    <x v="3"/>
    <x v="3"/>
  </r>
  <r>
    <x v="4"/>
    <n v="42.42"/>
    <n v="59.897039999999997"/>
    <n v="44314"/>
    <x v="4"/>
    <x v="4"/>
    <x v="4"/>
  </r>
  <r>
    <x v="5"/>
    <n v="43.1"/>
    <n v="60.857199999999999"/>
    <n v="44997"/>
    <x v="5"/>
    <x v="5"/>
    <x v="5"/>
  </r>
  <r>
    <x v="6"/>
    <n v="38.18"/>
    <n v="54.368319999999997"/>
    <n v="45546"/>
    <x v="6"/>
    <x v="6"/>
    <x v="6"/>
  </r>
  <r>
    <x v="7"/>
    <n v="40.659999999999997"/>
    <n v="58.713039999999992"/>
    <n v="46126"/>
    <x v="7"/>
    <x v="7"/>
    <x v="7"/>
  </r>
  <r>
    <x v="8"/>
    <n v="39.17"/>
    <n v="56.561480000000003"/>
    <n v="46687"/>
    <x v="8"/>
    <x v="8"/>
    <x v="8"/>
  </r>
  <r>
    <x v="9"/>
    <n v="40.29"/>
    <n v="58.662239999999997"/>
    <n v="47250"/>
    <x v="9"/>
    <x v="9"/>
    <x v="9"/>
  </r>
  <r>
    <x v="10"/>
    <n v="41.01"/>
    <n v="59.710559999999994"/>
    <n v="47867"/>
    <x v="10"/>
    <x v="10"/>
    <x v="10"/>
  </r>
  <r>
    <x v="11"/>
    <n v="37.18"/>
    <n v="56.178979999999996"/>
    <n v="48407"/>
    <x v="11"/>
    <x v="11"/>
    <x v="11"/>
  </r>
  <r>
    <x v="12"/>
    <n v="41.46"/>
    <n v="62.646059999999999"/>
    <n v="49005"/>
    <x v="12"/>
    <x v="12"/>
    <x v="12"/>
  </r>
  <r>
    <x v="13"/>
    <n v="35.97"/>
    <n v="55.537680000000002"/>
    <n v="49480"/>
    <x v="13"/>
    <x v="13"/>
    <x v="13"/>
  </r>
  <r>
    <x v="14"/>
    <n v="38.74"/>
    <n v="60.085740000000001"/>
    <n v="50012"/>
    <x v="14"/>
    <x v="14"/>
    <x v="14"/>
  </r>
  <r>
    <x v="15"/>
    <n v="36.130000000000003"/>
    <n v="56.03763"/>
    <n v="50458"/>
    <x v="15"/>
    <x v="15"/>
    <x v="15"/>
  </r>
  <r>
    <x v="16"/>
    <n v="38.51"/>
    <n v="61.153880000000001"/>
    <n v="50991"/>
    <x v="16"/>
    <x v="16"/>
    <x v="16"/>
  </r>
  <r>
    <x v="17"/>
    <n v="38.840000000000003"/>
    <n v="61.677920000000007"/>
    <n v="51593"/>
    <x v="17"/>
    <x v="17"/>
    <x v="17"/>
  </r>
  <r>
    <x v="18"/>
    <n v="41.73"/>
    <n v="64.097279999999998"/>
    <n v="52176"/>
    <x v="18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1910F-30CA-4353-891E-3F39362B61AE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3:I44" firstHeaderRow="1" firstDataRow="2" firstDataCol="1"/>
  <pivotFields count="8">
    <pivotField numFmtId="16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2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axis="axisRow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7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Prevožen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5"/>
    <tableColumn id="2" xr3:uid="{6DC2697C-FCB3-8A47-945B-8CD05834AA8C}" uniqueName="2" name="Litri" queryTableFieldId="2" dataDxfId="3"/>
    <tableColumn id="3" xr3:uid="{19DBC541-3ADF-4E48-8786-6E42DA219788}" uniqueName="3" name="Plačano" queryTableFieldId="3" dataDxfId="1"/>
    <tableColumn id="4" xr3:uid="{3238A9AD-2FC0-0E49-9EE3-7019C05B366B}" uniqueName="4" name="Števec" queryTableFieldId="4" dataDxfId="2"/>
    <tableColumn id="5" xr3:uid="{E0B5480D-9C8F-CA4C-941D-AE9FDE0CDFDC}" uniqueName="5" name="Prevoženo" queryTableFieldId="5" dataDxfId="11"/>
    <tableColumn id="6" xr3:uid="{1DEAFC6B-8470-6742-BAB3-957B7429D133}" uniqueName="6" name="Poraba" queryTableFieldId="6" dataDxfId="10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9" tableBorderDxfId="8" totalsRowBorderDxfId="7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4"/>
    <tableColumn id="2" xr3:uid="{079EA12A-47EB-F54A-8E37-30D8BCE75150}" name="Bencin" dataDxfId="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44"/>
  <sheetViews>
    <sheetView tabSelected="1" zoomScale="120" zoomScaleNormal="120" workbookViewId="0">
      <selection activeCell="B23" sqref="B23"/>
    </sheetView>
  </sheetViews>
  <sheetFormatPr defaultColWidth="11.42578125" defaultRowHeight="15" x14ac:dyDescent="0.25"/>
  <cols>
    <col min="1" max="1" width="3.85546875" customWidth="1"/>
    <col min="2" max="2" width="19.140625" bestFit="1" customWidth="1"/>
    <col min="3" max="3" width="16.28515625" bestFit="1" customWidth="1"/>
    <col min="4" max="4" width="4.140625" bestFit="1" customWidth="1"/>
    <col min="5" max="5" width="3.42578125" bestFit="1" customWidth="1"/>
    <col min="6" max="6" width="4.7109375" bestFit="1" customWidth="1"/>
    <col min="7" max="7" width="5.140625" bestFit="1" customWidth="1"/>
    <col min="8" max="8" width="4.140625" bestFit="1" customWidth="1"/>
    <col min="9" max="9" width="11.5703125" bestFit="1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4">
        <v>45051</v>
      </c>
      <c r="C3" s="2">
        <v>41.17</v>
      </c>
      <c r="D3" s="2">
        <f>INDEX(Table3[Bencin],MATCH(realna_poraba_cupra__2[[#This Row],[Datum]],Table3[Veljavnost],1))*realna_poraba_cupra__2[[#This Row],[Litri]]</f>
        <v>58.296720000000001</v>
      </c>
      <c r="E3" s="1">
        <v>41907</v>
      </c>
      <c r="F3" s="5" t="s">
        <v>10</v>
      </c>
      <c r="G3" t="s">
        <v>4</v>
      </c>
      <c r="H3" s="2" t="str">
        <f>realna_poraba_cupra__2[[#This Row],[Poraba]]</f>
        <v/>
      </c>
      <c r="J3" s="4">
        <v>44930</v>
      </c>
      <c r="K3" s="3">
        <v>1.276</v>
      </c>
    </row>
    <row r="4" spans="2:11" x14ac:dyDescent="0.25">
      <c r="B4" s="4">
        <v>45059</v>
      </c>
      <c r="C4" s="2">
        <v>43.02</v>
      </c>
      <c r="D4" s="2">
        <f>INDEX(Table3[Bencin],MATCH(realna_poraba_cupra__2[[#This Row],[Datum]],Table3[Veljavnost],1))*realna_poraba_cupra__2[[#This Row],[Litri]]</f>
        <v>59.797800000000002</v>
      </c>
      <c r="E4" s="1">
        <v>42521</v>
      </c>
      <c r="F4" s="1">
        <f>realna_poraba_cupra__2[[#This Row],[Števec]]-E3</f>
        <v>614</v>
      </c>
      <c r="G4" s="2">
        <f>100*(realna_poraba_cupra__2[[#This Row],[Litri]]/realna_poraba_cupra__2[[#This Row],[Prevoženo]])</f>
        <v>7.006514657980456</v>
      </c>
      <c r="H4" s="2">
        <f>realna_poraba_cupra__2[[#This Row],[Poraba]]</f>
        <v>7.006514657980456</v>
      </c>
      <c r="J4" s="4">
        <v>44943</v>
      </c>
      <c r="K4" s="3">
        <v>1.288</v>
      </c>
    </row>
    <row r="5" spans="2:11" x14ac:dyDescent="0.25">
      <c r="B5" s="4">
        <v>45068</v>
      </c>
      <c r="C5" s="2">
        <v>41.67</v>
      </c>
      <c r="D5" s="2">
        <f>INDEX(Table3[Bencin],MATCH(realna_poraba_cupra__2[[#This Row],[Datum]],Table3[Veljavnost],1))*realna_poraba_cupra__2[[#This Row],[Litri]]</f>
        <v>57.921299999999995</v>
      </c>
      <c r="E5" s="1">
        <v>43181</v>
      </c>
      <c r="F5" s="1">
        <f>realna_poraba_cupra__2[[#This Row],[Števec]]-E4</f>
        <v>660</v>
      </c>
      <c r="G5" s="2">
        <f>100*(realna_poraba_cupra__2[[#This Row],[Litri]]/realna_poraba_cupra__2[[#This Row],[Prevoženo]])</f>
        <v>6.3136363636363644</v>
      </c>
      <c r="H5" s="2">
        <f>realna_poraba_cupra__2[[#This Row],[Poraba]]</f>
        <v>6.3136363636363644</v>
      </c>
      <c r="J5" s="4">
        <v>44957</v>
      </c>
      <c r="K5" s="3">
        <v>1.355</v>
      </c>
    </row>
    <row r="6" spans="2:11" x14ac:dyDescent="0.25">
      <c r="B6" s="4">
        <v>45073</v>
      </c>
      <c r="C6" s="2">
        <v>34.04</v>
      </c>
      <c r="D6" s="2">
        <f>INDEX(Table3[Bencin],MATCH(realna_poraba_cupra__2[[#This Row],[Datum]],Table3[Veljavnost],1))*realna_poraba_cupra__2[[#This Row],[Litri]]</f>
        <v>47.043279999999996</v>
      </c>
      <c r="E6" s="1">
        <v>43696</v>
      </c>
      <c r="F6" s="1">
        <f>realna_poraba_cupra__2[[#This Row],[Števec]]-E5</f>
        <v>515</v>
      </c>
      <c r="G6" s="2">
        <f>100*(realna_poraba_cupra__2[[#This Row],[Litri]]/realna_poraba_cupra__2[[#This Row],[Prevoženo]])</f>
        <v>6.6097087378640769</v>
      </c>
      <c r="H6" s="2">
        <f>realna_poraba_cupra__2[[#This Row],[Poraba]]</f>
        <v>6.6097087378640769</v>
      </c>
      <c r="J6" s="4">
        <v>44971</v>
      </c>
      <c r="K6" s="3">
        <v>1.355</v>
      </c>
    </row>
    <row r="7" spans="2:11" x14ac:dyDescent="0.25">
      <c r="B7" s="4">
        <v>45085</v>
      </c>
      <c r="C7" s="2">
        <v>42.42</v>
      </c>
      <c r="D7" s="2">
        <f>INDEX(Table3[Bencin],MATCH(realna_poraba_cupra__2[[#This Row],[Datum]],Table3[Veljavnost],1))*realna_poraba_cupra__2[[#This Row],[Litri]]</f>
        <v>59.897039999999997</v>
      </c>
      <c r="E7" s="1">
        <v>44314</v>
      </c>
      <c r="F7" s="1">
        <f>realna_poraba_cupra__2[[#This Row],[Števec]]-E6</f>
        <v>618</v>
      </c>
      <c r="G7" s="2">
        <f>100*(realna_poraba_cupra__2[[#This Row],[Litri]]/realna_poraba_cupra__2[[#This Row],[Prevoženo]])</f>
        <v>6.8640776699029127</v>
      </c>
      <c r="H7" s="2">
        <f>realna_poraba_cupra__2[[#This Row],[Poraba]]</f>
        <v>6.8640776699029127</v>
      </c>
      <c r="J7" s="4">
        <v>44985</v>
      </c>
      <c r="K7" s="3">
        <v>1.359</v>
      </c>
    </row>
    <row r="8" spans="2:11" x14ac:dyDescent="0.25">
      <c r="B8" s="4">
        <v>45093</v>
      </c>
      <c r="C8" s="2">
        <v>43.1</v>
      </c>
      <c r="D8" s="2">
        <f>INDEX(Table3[Bencin],MATCH(realna_poraba_cupra__2[[#This Row],[Datum]],Table3[Veljavnost],1))*realna_poraba_cupra__2[[#This Row],[Litri]]</f>
        <v>60.857199999999999</v>
      </c>
      <c r="E8" s="1">
        <v>44997</v>
      </c>
      <c r="F8" s="1">
        <f>realna_poraba_cupra__2[[#This Row],[Števec]]-E7</f>
        <v>683</v>
      </c>
      <c r="G8" s="2">
        <f>100*(realna_poraba_cupra__2[[#This Row],[Litri]]/realna_poraba_cupra__2[[#This Row],[Prevoženo]])</f>
        <v>6.3103953147877023</v>
      </c>
      <c r="H8" s="2">
        <f>realna_poraba_cupra__2[[#This Row],[Poraba]]</f>
        <v>6.3103953147877023</v>
      </c>
      <c r="J8" s="4">
        <v>44999</v>
      </c>
      <c r="K8" s="3">
        <v>1.3740000000000001</v>
      </c>
    </row>
    <row r="9" spans="2:11" x14ac:dyDescent="0.25">
      <c r="B9" s="4">
        <v>45099</v>
      </c>
      <c r="C9" s="2">
        <v>38.18</v>
      </c>
      <c r="D9" s="2">
        <f>INDEX(Table3[Bencin],MATCH(realna_poraba_cupra__2[[#This Row],[Datum]],Table3[Veljavnost],1))*realna_poraba_cupra__2[[#This Row],[Litri]]</f>
        <v>54.368319999999997</v>
      </c>
      <c r="E9" s="1">
        <v>45546</v>
      </c>
      <c r="F9" s="1">
        <f>realna_poraba_cupra__2[[#This Row],[Števec]]-E8</f>
        <v>549</v>
      </c>
      <c r="G9" s="2">
        <f>100*(realna_poraba_cupra__2[[#This Row],[Litri]]/realna_poraba_cupra__2[[#This Row],[Prevoženo]])</f>
        <v>6.9544626593806917</v>
      </c>
      <c r="H9" s="2">
        <f>realna_poraba_cupra__2[[#This Row],[Poraba]]</f>
        <v>6.9544626593806917</v>
      </c>
      <c r="J9" s="4">
        <v>45013</v>
      </c>
      <c r="K9" s="3">
        <v>1.3740000000000001</v>
      </c>
    </row>
    <row r="10" spans="2:11" x14ac:dyDescent="0.25">
      <c r="B10" s="4">
        <v>45113</v>
      </c>
      <c r="C10" s="2">
        <v>40.659999999999997</v>
      </c>
      <c r="D10" s="2">
        <f>INDEX(Table3[Bencin],MATCH(realna_poraba_cupra__2[[#This Row],[Datum]],Table3[Veljavnost],1))*realna_poraba_cupra__2[[#This Row],[Litri]]</f>
        <v>58.713039999999992</v>
      </c>
      <c r="E10" s="1">
        <v>46126</v>
      </c>
      <c r="F10" s="1">
        <f>realna_poraba_cupra__2[[#This Row],[Števec]]-E9</f>
        <v>580</v>
      </c>
      <c r="G10" s="2">
        <f>100*(realna_poraba_cupra__2[[#This Row],[Litri]]/realna_poraba_cupra__2[[#This Row],[Prevoženo]])</f>
        <v>7.0103448275862066</v>
      </c>
      <c r="H10" s="2">
        <f>realna_poraba_cupra__2[[#This Row],[Poraba]]</f>
        <v>7.0103448275862066</v>
      </c>
      <c r="J10" s="4">
        <v>45028</v>
      </c>
      <c r="K10" s="3">
        <v>1.4159999999999999</v>
      </c>
    </row>
    <row r="11" spans="2:11" x14ac:dyDescent="0.25">
      <c r="B11" s="4">
        <v>45122</v>
      </c>
      <c r="C11" s="2">
        <v>39.17</v>
      </c>
      <c r="D11" s="2">
        <f>INDEX(Table3[Bencin],MATCH(realna_poraba_cupra__2[[#This Row],[Datum]],Table3[Veljavnost],1))*realna_poraba_cupra__2[[#This Row],[Litri]]</f>
        <v>56.561480000000003</v>
      </c>
      <c r="E11" s="1">
        <v>46687</v>
      </c>
      <c r="F11" s="1">
        <f>realna_poraba_cupra__2[[#This Row],[Števec]]-E10</f>
        <v>561</v>
      </c>
      <c r="G11" s="2">
        <f>100*(realna_poraba_cupra__2[[#This Row],[Litri]]/realna_poraba_cupra__2[[#This Row],[Prevoženo]])</f>
        <v>6.9821746880570412</v>
      </c>
      <c r="H11" s="2">
        <f>realna_poraba_cupra__2[[#This Row],[Poraba]]</f>
        <v>6.9821746880570412</v>
      </c>
      <c r="J11" s="4">
        <v>45041</v>
      </c>
      <c r="K11" s="3">
        <v>1.4159999999999999</v>
      </c>
    </row>
    <row r="12" spans="2:11" x14ac:dyDescent="0.25">
      <c r="B12" s="4">
        <v>45129</v>
      </c>
      <c r="C12" s="2">
        <v>40.29</v>
      </c>
      <c r="D12" s="2">
        <f>INDEX(Table3[Bencin],MATCH(realna_poraba_cupra__2[[#This Row],[Datum]],Table3[Veljavnost],1))*realna_poraba_cupra__2[[#This Row],[Litri]]</f>
        <v>58.662239999999997</v>
      </c>
      <c r="E12" s="1">
        <v>47250</v>
      </c>
      <c r="F12" s="1">
        <f>realna_poraba_cupra__2[[#This Row],[Števec]]-E11</f>
        <v>563</v>
      </c>
      <c r="G12" s="2">
        <f>100*(realna_poraba_cupra__2[[#This Row],[Litri]]/realna_poraba_cupra__2[[#This Row],[Prevoženo]])</f>
        <v>7.1563055062166967</v>
      </c>
      <c r="H12" s="2">
        <f>realna_poraba_cupra__2[[#This Row],[Poraba]]</f>
        <v>7.1563055062166967</v>
      </c>
      <c r="J12" s="4">
        <v>45055</v>
      </c>
      <c r="K12" s="3">
        <v>1.39</v>
      </c>
    </row>
    <row r="13" spans="2:11" x14ac:dyDescent="0.25">
      <c r="B13" s="4">
        <v>45138</v>
      </c>
      <c r="C13" s="2">
        <v>41.01</v>
      </c>
      <c r="D13" s="2">
        <f>INDEX(Table3[Bencin],MATCH(realna_poraba_cupra__2[[#This Row],[Datum]],Table3[Veljavnost],1))*realna_poraba_cupra__2[[#This Row],[Litri]]</f>
        <v>59.710559999999994</v>
      </c>
      <c r="E13" s="1">
        <v>47867</v>
      </c>
      <c r="F13" s="1">
        <f>realna_poraba_cupra__2[[#This Row],[Števec]]-E12</f>
        <v>617</v>
      </c>
      <c r="G13" s="2">
        <f>100*(realna_poraba_cupra__2[[#This Row],[Litri]]/realna_poraba_cupra__2[[#This Row],[Prevoženo]])</f>
        <v>6.6466774716369521</v>
      </c>
      <c r="H13" s="2">
        <f>realna_poraba_cupra__2[[#This Row],[Poraba]]</f>
        <v>6.6466774716369521</v>
      </c>
      <c r="J13" s="4">
        <v>45069</v>
      </c>
      <c r="K13" s="3">
        <v>1.3819999999999999</v>
      </c>
    </row>
    <row r="14" spans="2:11" x14ac:dyDescent="0.25">
      <c r="B14" s="4">
        <v>45151</v>
      </c>
      <c r="C14" s="2">
        <v>37.18</v>
      </c>
      <c r="D14" s="2">
        <f>INDEX(Table3[Bencin],MATCH(realna_poraba_cupra__2[[#This Row],[Datum]],Table3[Veljavnost],1))*realna_poraba_cupra__2[[#This Row],[Litri]]</f>
        <v>56.178979999999996</v>
      </c>
      <c r="E14" s="1">
        <v>48407</v>
      </c>
      <c r="F14" s="1">
        <f>realna_poraba_cupra__2[[#This Row],[Števec]]-E13</f>
        <v>540</v>
      </c>
      <c r="G14" s="2">
        <f>100*(realna_poraba_cupra__2[[#This Row],[Litri]]/realna_poraba_cupra__2[[#This Row],[Prevoženo]])</f>
        <v>6.8851851851851844</v>
      </c>
      <c r="H14" s="2">
        <f>realna_poraba_cupra__2[[#This Row],[Poraba]]</f>
        <v>6.8851851851851844</v>
      </c>
      <c r="J14" s="4">
        <v>45083</v>
      </c>
      <c r="K14" s="3">
        <v>1.4119999999999999</v>
      </c>
    </row>
    <row r="15" spans="2:11" x14ac:dyDescent="0.25">
      <c r="B15" s="4">
        <v>45163</v>
      </c>
      <c r="C15" s="2">
        <v>41.46</v>
      </c>
      <c r="D15" s="2">
        <f>INDEX(Table3[Bencin],MATCH(realna_poraba_cupra__2[[#This Row],[Datum]],Table3[Veljavnost],1))*realna_poraba_cupra__2[[#This Row],[Litri]]</f>
        <v>62.646059999999999</v>
      </c>
      <c r="E15" s="1">
        <v>49005</v>
      </c>
      <c r="F15" s="1">
        <f>realna_poraba_cupra__2[[#This Row],[Števec]]-E14</f>
        <v>598</v>
      </c>
      <c r="G15" s="2">
        <f>100*(realna_poraba_cupra__2[[#This Row],[Litri]]/realna_poraba_cupra__2[[#This Row],[Prevoženo]])</f>
        <v>6.9331103678929766</v>
      </c>
      <c r="H15" s="2">
        <f>realna_poraba_cupra__2[[#This Row],[Poraba]]</f>
        <v>6.9331103678929766</v>
      </c>
      <c r="J15" s="4">
        <v>45097</v>
      </c>
      <c r="K15" s="3">
        <v>1.4239999999999999</v>
      </c>
    </row>
    <row r="16" spans="2:11" x14ac:dyDescent="0.25">
      <c r="B16" s="4">
        <v>45175</v>
      </c>
      <c r="C16" s="2">
        <v>35.97</v>
      </c>
      <c r="D16" s="2">
        <f>INDEX(Table3[Bencin],MATCH(realna_poraba_cupra__2[[#This Row],[Datum]],Table3[Veljavnost],1))*realna_poraba_cupra__2[[#This Row],[Litri]]</f>
        <v>55.537680000000002</v>
      </c>
      <c r="E16" s="1">
        <v>49480</v>
      </c>
      <c r="F16" s="1">
        <f>realna_poraba_cupra__2[[#This Row],[Števec]]-E15</f>
        <v>475</v>
      </c>
      <c r="G16" s="2">
        <f>100*(realna_poraba_cupra__2[[#This Row],[Litri]]/realna_poraba_cupra__2[[#This Row],[Prevoženo]])</f>
        <v>7.5726315789473686</v>
      </c>
      <c r="H16" s="2">
        <f>realna_poraba_cupra__2[[#This Row],[Poraba]]</f>
        <v>7.5726315789473686</v>
      </c>
      <c r="J16" s="4">
        <v>45111</v>
      </c>
      <c r="K16" s="3">
        <v>1.444</v>
      </c>
    </row>
    <row r="17" spans="2:11" x14ac:dyDescent="0.25">
      <c r="B17" s="4">
        <v>45184</v>
      </c>
      <c r="C17" s="2">
        <v>38.74</v>
      </c>
      <c r="D17" s="2">
        <f>INDEX(Table3[Bencin],MATCH(realna_poraba_cupra__2[[#This Row],[Datum]],Table3[Veljavnost],1))*realna_poraba_cupra__2[[#This Row],[Litri]]</f>
        <v>60.085740000000001</v>
      </c>
      <c r="E17" s="1">
        <v>50012</v>
      </c>
      <c r="F17" s="1">
        <f>realna_poraba_cupra__2[[#This Row],[Števec]]-E16</f>
        <v>532</v>
      </c>
      <c r="G17" s="2">
        <f>100*(realna_poraba_cupra__2[[#This Row],[Litri]]/realna_poraba_cupra__2[[#This Row],[Prevoženo]])</f>
        <v>7.2819548872180455</v>
      </c>
      <c r="H17" s="2">
        <f>realna_poraba_cupra__2[[#This Row],[Poraba]]</f>
        <v>7.2819548872180455</v>
      </c>
      <c r="J17" s="4">
        <v>45125</v>
      </c>
      <c r="K17" s="3">
        <v>1.456</v>
      </c>
    </row>
    <row r="18" spans="2:11" x14ac:dyDescent="0.25">
      <c r="B18" s="4">
        <v>45191</v>
      </c>
      <c r="C18" s="2">
        <v>36.130000000000003</v>
      </c>
      <c r="D18" s="2">
        <f>INDEX(Table3[Bencin],MATCH(realna_poraba_cupra__2[[#This Row],[Datum]],Table3[Veljavnost],1))*realna_poraba_cupra__2[[#This Row],[Litri]]</f>
        <v>56.03763</v>
      </c>
      <c r="E18" s="1">
        <v>50458</v>
      </c>
      <c r="F18" s="1">
        <f>realna_poraba_cupra__2[[#This Row],[Števec]]-E17</f>
        <v>446</v>
      </c>
      <c r="G18" s="2">
        <f>100*(realna_poraba_cupra__2[[#This Row],[Litri]]/realna_poraba_cupra__2[[#This Row],[Prevoženo]])</f>
        <v>8.1008968609865484</v>
      </c>
      <c r="H18" s="2">
        <f>realna_poraba_cupra__2[[#This Row],[Poraba]]</f>
        <v>8.1008968609865484</v>
      </c>
      <c r="J18" s="4">
        <v>45139</v>
      </c>
      <c r="K18" s="3">
        <v>1.5109999999999999</v>
      </c>
    </row>
    <row r="19" spans="2:11" x14ac:dyDescent="0.25">
      <c r="B19" s="4">
        <v>45198</v>
      </c>
      <c r="C19" s="2">
        <v>38.51</v>
      </c>
      <c r="D19" s="2">
        <f>INDEX(Table3[Bencin],MATCH(realna_poraba_cupra__2[[#This Row],[Datum]],Table3[Veljavnost],1))*realna_poraba_cupra__2[[#This Row],[Litri]]</f>
        <v>61.153880000000001</v>
      </c>
      <c r="E19" s="1">
        <v>50991</v>
      </c>
      <c r="F19" s="1">
        <f>realna_poraba_cupra__2[[#This Row],[Števec]]-E18</f>
        <v>533</v>
      </c>
      <c r="G19" s="2">
        <f>100*(realna_poraba_cupra__2[[#This Row],[Litri]]/realna_poraba_cupra__2[[#This Row],[Prevoženo]])</f>
        <v>7.2251407129455911</v>
      </c>
      <c r="H19" s="2">
        <f>realna_poraba_cupra__2[[#This Row],[Poraba]]</f>
        <v>7.2251407129455911</v>
      </c>
      <c r="J19" s="4">
        <v>45155</v>
      </c>
      <c r="K19" s="3">
        <v>1.5109999999999999</v>
      </c>
    </row>
    <row r="20" spans="2:11" x14ac:dyDescent="0.25">
      <c r="B20" s="4">
        <v>45205</v>
      </c>
      <c r="C20" s="2">
        <v>38.840000000000003</v>
      </c>
      <c r="D20" s="2">
        <f>INDEX(Table3[Bencin],MATCH(realna_poraba_cupra__2[[#This Row],[Datum]],Table3[Veljavnost],1))*realna_poraba_cupra__2[[#This Row],[Litri]]</f>
        <v>61.677920000000007</v>
      </c>
      <c r="E20" s="1">
        <v>51593</v>
      </c>
      <c r="F20" s="1">
        <f>realna_poraba_cupra__2[[#This Row],[Števec]]-E19</f>
        <v>602</v>
      </c>
      <c r="G20" s="2">
        <f>100*(realna_poraba_cupra__2[[#This Row],[Litri]]/realna_poraba_cupra__2[[#This Row],[Prevoženo]])</f>
        <v>6.4518272425249172</v>
      </c>
      <c r="H20" s="2">
        <f>realna_poraba_cupra__2[[#This Row],[Poraba]]</f>
        <v>6.4518272425249172</v>
      </c>
      <c r="J20" s="4">
        <v>45167</v>
      </c>
      <c r="K20" s="3">
        <v>1.544</v>
      </c>
    </row>
    <row r="21" spans="2:11" x14ac:dyDescent="0.25">
      <c r="B21" s="4">
        <v>45213</v>
      </c>
      <c r="C21" s="2">
        <v>41.73</v>
      </c>
      <c r="D21" s="2">
        <f>INDEX(Table3[Bencin],MATCH(realna_poraba_cupra__2[[#This Row],[Datum]],Table3[Veljavnost],1))*realna_poraba_cupra__2[[#This Row],[Litri]]</f>
        <v>64.097279999999998</v>
      </c>
      <c r="E21" s="1">
        <v>52176</v>
      </c>
      <c r="F21" s="1">
        <f>realna_poraba_cupra__2[[#This Row],[Števec]]-E20</f>
        <v>583</v>
      </c>
      <c r="G21" s="2">
        <f>100*(realna_poraba_cupra__2[[#This Row],[Litri]]/realna_poraba_cupra__2[[#This Row],[Prevoženo]])</f>
        <v>7.1578044596912509</v>
      </c>
      <c r="H21" s="2">
        <f>realna_poraba_cupra__2[[#This Row],[Poraba]]</f>
        <v>7.1578044596912509</v>
      </c>
      <c r="J21" s="4">
        <v>45181</v>
      </c>
      <c r="K21" s="3">
        <v>1.5509999999999999</v>
      </c>
    </row>
    <row r="22" spans="2:11" x14ac:dyDescent="0.25">
      <c r="J22" s="4">
        <v>45195</v>
      </c>
      <c r="K22" s="3">
        <v>1.5880000000000001</v>
      </c>
    </row>
    <row r="23" spans="2:11" x14ac:dyDescent="0.25">
      <c r="B23" s="6" t="s">
        <v>20</v>
      </c>
      <c r="C23" s="6" t="s">
        <v>19</v>
      </c>
      <c r="J23" s="4">
        <v>45209</v>
      </c>
      <c r="K23" s="3">
        <v>1.536</v>
      </c>
    </row>
    <row r="24" spans="2:11" x14ac:dyDescent="0.25">
      <c r="B24" s="6" t="s">
        <v>11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12</v>
      </c>
      <c r="J24" s="4">
        <v>45223</v>
      </c>
      <c r="K24" s="3">
        <v>1.536</v>
      </c>
    </row>
    <row r="25" spans="2:11" x14ac:dyDescent="0.25">
      <c r="B25" s="7">
        <v>6.3103953147877023</v>
      </c>
      <c r="C25" s="8"/>
      <c r="D25" s="8">
        <v>1</v>
      </c>
      <c r="E25" s="8"/>
      <c r="F25" s="8"/>
      <c r="G25" s="8"/>
      <c r="H25" s="8"/>
      <c r="I25" s="8">
        <v>1</v>
      </c>
      <c r="J25" s="4">
        <v>45237</v>
      </c>
      <c r="K25" s="3">
        <v>1.534</v>
      </c>
    </row>
    <row r="26" spans="2:11" x14ac:dyDescent="0.25">
      <c r="B26" s="7">
        <v>6.3136363636363644</v>
      </c>
      <c r="C26" s="8">
        <v>1</v>
      </c>
      <c r="D26" s="8"/>
      <c r="E26" s="8"/>
      <c r="F26" s="8"/>
      <c r="G26" s="8"/>
      <c r="H26" s="8"/>
      <c r="I26" s="8">
        <v>1</v>
      </c>
    </row>
    <row r="27" spans="2:11" x14ac:dyDescent="0.25">
      <c r="B27" s="7">
        <v>6.4518272425249172</v>
      </c>
      <c r="C27" s="8"/>
      <c r="D27" s="8"/>
      <c r="E27" s="8"/>
      <c r="F27" s="8"/>
      <c r="G27" s="8"/>
      <c r="H27" s="8">
        <v>1</v>
      </c>
      <c r="I27" s="8">
        <v>1</v>
      </c>
    </row>
    <row r="28" spans="2:11" x14ac:dyDescent="0.25">
      <c r="B28" s="7">
        <v>6.6097087378640769</v>
      </c>
      <c r="C28" s="8">
        <v>1</v>
      </c>
      <c r="D28" s="8"/>
      <c r="E28" s="8"/>
      <c r="F28" s="8"/>
      <c r="G28" s="8"/>
      <c r="H28" s="8"/>
      <c r="I28" s="8">
        <v>1</v>
      </c>
    </row>
    <row r="29" spans="2:11" x14ac:dyDescent="0.25">
      <c r="B29" s="7">
        <v>6.6466774716369521</v>
      </c>
      <c r="C29" s="8"/>
      <c r="D29" s="8"/>
      <c r="E29" s="8">
        <v>1</v>
      </c>
      <c r="F29" s="8"/>
      <c r="G29" s="8"/>
      <c r="H29" s="8"/>
      <c r="I29" s="8">
        <v>1</v>
      </c>
    </row>
    <row r="30" spans="2:11" x14ac:dyDescent="0.25">
      <c r="B30" s="7">
        <v>6.8640776699029127</v>
      </c>
      <c r="C30" s="8"/>
      <c r="D30" s="8">
        <v>1</v>
      </c>
      <c r="E30" s="8"/>
      <c r="F30" s="8"/>
      <c r="G30" s="8"/>
      <c r="H30" s="8"/>
      <c r="I30" s="8">
        <v>1</v>
      </c>
    </row>
    <row r="31" spans="2:11" x14ac:dyDescent="0.25">
      <c r="B31" s="7">
        <v>6.8851851851851844</v>
      </c>
      <c r="C31" s="8"/>
      <c r="D31" s="8"/>
      <c r="E31" s="8"/>
      <c r="F31" s="8">
        <v>1</v>
      </c>
      <c r="G31" s="8"/>
      <c r="H31" s="8"/>
      <c r="I31" s="8">
        <v>1</v>
      </c>
    </row>
    <row r="32" spans="2:11" x14ac:dyDescent="0.25">
      <c r="B32" s="7">
        <v>6.9331103678929766</v>
      </c>
      <c r="C32" s="8"/>
      <c r="D32" s="8"/>
      <c r="E32" s="8"/>
      <c r="F32" s="8">
        <v>1</v>
      </c>
      <c r="G32" s="8"/>
      <c r="H32" s="8"/>
      <c r="I32" s="8">
        <v>1</v>
      </c>
    </row>
    <row r="33" spans="2:9" x14ac:dyDescent="0.25">
      <c r="B33" s="7">
        <v>6.9544626593806917</v>
      </c>
      <c r="C33" s="8"/>
      <c r="D33" s="8">
        <v>1</v>
      </c>
      <c r="E33" s="8"/>
      <c r="F33" s="8"/>
      <c r="G33" s="8"/>
      <c r="H33" s="8"/>
      <c r="I33" s="8">
        <v>1</v>
      </c>
    </row>
    <row r="34" spans="2:9" x14ac:dyDescent="0.25">
      <c r="B34" s="7">
        <v>6.9821746880570412</v>
      </c>
      <c r="C34" s="8"/>
      <c r="D34" s="8"/>
      <c r="E34" s="8">
        <v>1</v>
      </c>
      <c r="F34" s="8"/>
      <c r="G34" s="8"/>
      <c r="H34" s="8"/>
      <c r="I34" s="8">
        <v>1</v>
      </c>
    </row>
    <row r="35" spans="2:9" x14ac:dyDescent="0.25">
      <c r="B35" s="7">
        <v>7.006514657980456</v>
      </c>
      <c r="C35" s="8">
        <v>1</v>
      </c>
      <c r="D35" s="8"/>
      <c r="E35" s="8"/>
      <c r="F35" s="8"/>
      <c r="G35" s="8"/>
      <c r="H35" s="8"/>
      <c r="I35" s="8">
        <v>1</v>
      </c>
    </row>
    <row r="36" spans="2:9" x14ac:dyDescent="0.25">
      <c r="B36" s="7">
        <v>7.0103448275862066</v>
      </c>
      <c r="C36" s="8"/>
      <c r="D36" s="8"/>
      <c r="E36" s="8">
        <v>1</v>
      </c>
      <c r="F36" s="8"/>
      <c r="G36" s="8"/>
      <c r="H36" s="8"/>
      <c r="I36" s="8">
        <v>1</v>
      </c>
    </row>
    <row r="37" spans="2:9" x14ac:dyDescent="0.25">
      <c r="B37" s="7">
        <v>7.1563055062166967</v>
      </c>
      <c r="C37" s="8"/>
      <c r="D37" s="8"/>
      <c r="E37" s="8">
        <v>1</v>
      </c>
      <c r="F37" s="8"/>
      <c r="G37" s="8"/>
      <c r="H37" s="8"/>
      <c r="I37" s="8">
        <v>1</v>
      </c>
    </row>
    <row r="38" spans="2:9" x14ac:dyDescent="0.25">
      <c r="B38" s="7">
        <v>7.1578044596912509</v>
      </c>
      <c r="C38" s="8"/>
      <c r="D38" s="8"/>
      <c r="E38" s="8"/>
      <c r="F38" s="8"/>
      <c r="G38" s="8"/>
      <c r="H38" s="8">
        <v>1</v>
      </c>
      <c r="I38" s="8">
        <v>1</v>
      </c>
    </row>
    <row r="39" spans="2:9" x14ac:dyDescent="0.25">
      <c r="B39" s="7">
        <v>7.2251407129455911</v>
      </c>
      <c r="C39" s="8"/>
      <c r="D39" s="8"/>
      <c r="E39" s="8"/>
      <c r="F39" s="8"/>
      <c r="G39" s="8">
        <v>1</v>
      </c>
      <c r="H39" s="8"/>
      <c r="I39" s="8">
        <v>1</v>
      </c>
    </row>
    <row r="40" spans="2:9" x14ac:dyDescent="0.25">
      <c r="B40" s="7">
        <v>7.2819548872180455</v>
      </c>
      <c r="C40" s="8"/>
      <c r="D40" s="8"/>
      <c r="E40" s="8"/>
      <c r="F40" s="8"/>
      <c r="G40" s="8">
        <v>1</v>
      </c>
      <c r="H40" s="8"/>
      <c r="I40" s="8">
        <v>1</v>
      </c>
    </row>
    <row r="41" spans="2:9" x14ac:dyDescent="0.25">
      <c r="B41" s="7">
        <v>7.5726315789473686</v>
      </c>
      <c r="C41" s="8"/>
      <c r="D41" s="8"/>
      <c r="E41" s="8"/>
      <c r="F41" s="8"/>
      <c r="G41" s="8">
        <v>1</v>
      </c>
      <c r="H41" s="8"/>
      <c r="I41" s="8">
        <v>1</v>
      </c>
    </row>
    <row r="42" spans="2:9" x14ac:dyDescent="0.25">
      <c r="B42" s="7">
        <v>8.1008968609865484</v>
      </c>
      <c r="C42" s="8"/>
      <c r="D42" s="8"/>
      <c r="E42" s="8"/>
      <c r="F42" s="8"/>
      <c r="G42" s="8">
        <v>1</v>
      </c>
      <c r="H42" s="8"/>
      <c r="I42" s="8">
        <v>1</v>
      </c>
    </row>
    <row r="43" spans="2:9" x14ac:dyDescent="0.25">
      <c r="B43" s="7"/>
      <c r="C43" s="8">
        <v>1</v>
      </c>
      <c r="D43" s="8"/>
      <c r="E43" s="8"/>
      <c r="F43" s="8"/>
      <c r="G43" s="8"/>
      <c r="H43" s="8"/>
      <c r="I43" s="8">
        <v>1</v>
      </c>
    </row>
    <row r="44" spans="2:9" x14ac:dyDescent="0.25">
      <c r="B44" s="7" t="s">
        <v>12</v>
      </c>
      <c r="C44" s="8">
        <v>4</v>
      </c>
      <c r="D44" s="8">
        <v>3</v>
      </c>
      <c r="E44" s="8">
        <v>4</v>
      </c>
      <c r="F44" s="8">
        <v>2</v>
      </c>
      <c r="G44" s="8">
        <v>4</v>
      </c>
      <c r="H44" s="8">
        <v>2</v>
      </c>
      <c r="I44" s="8">
        <v>19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{72882E9D-A8DE-4356-A760-727CE95A24D8}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82E9D-A8DE-4356-A760-727CE95A24D8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Dabelić, Jon</cp:lastModifiedBy>
  <dcterms:created xsi:type="dcterms:W3CDTF">2007-10-01T06:54:22Z</dcterms:created>
  <dcterms:modified xsi:type="dcterms:W3CDTF">2025-12-05T13:05:07Z</dcterms:modified>
</cp:coreProperties>
</file>